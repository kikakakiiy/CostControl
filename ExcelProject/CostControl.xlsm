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franIntern\"/>
    </mc:Choice>
  </mc:AlternateContent>
  <xr:revisionPtr revIDLastSave="0" documentId="13_ncr:1_{F26B1038-9342-4718-87A9-49D908DD4332}" xr6:coauthVersionLast="47" xr6:coauthVersionMax="47" xr10:uidLastSave="{00000000-0000-0000-0000-000000000000}"/>
  <bookViews>
    <workbookView xWindow="-108" yWindow="-108" windowWidth="23256" windowHeight="12576" xr2:uid="{4458241C-5AB3-40CD-B72D-63E968422A15}"/>
  </bookViews>
  <sheets>
    <sheet name="Sheet1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" l="1"/>
  <c r="F15" i="1"/>
  <c r="D15" i="1" s="1"/>
  <c r="F14" i="1"/>
  <c r="D14" i="1" s="1"/>
  <c r="C13" i="1"/>
  <c r="F13" i="1" s="1"/>
  <c r="D13" i="1" s="1"/>
  <c r="E12" i="1"/>
  <c r="C12" i="1"/>
  <c r="E11" i="1"/>
  <c r="C11" i="1"/>
  <c r="C10" i="1"/>
  <c r="E9" i="1"/>
  <c r="C9" i="1"/>
  <c r="C2" i="1"/>
  <c r="C4" i="1"/>
  <c r="C5" i="1"/>
  <c r="F5" i="1" s="1"/>
  <c r="D5" i="1" s="1"/>
  <c r="C7" i="1"/>
  <c r="F7" i="1" s="1"/>
  <c r="D7" i="1" s="1"/>
  <c r="C6" i="1"/>
  <c r="E8" i="1"/>
  <c r="C8" i="1"/>
  <c r="E2" i="1"/>
  <c r="F2" i="1" s="1"/>
  <c r="D2" i="1" s="1"/>
  <c r="E4" i="1"/>
  <c r="E6" i="1"/>
  <c r="F3" i="1"/>
  <c r="D3" i="1" s="1"/>
  <c r="F6" i="1"/>
  <c r="D6" i="1" s="1"/>
  <c r="F9" i="1"/>
  <c r="F10" i="1"/>
  <c r="D10" i="1" s="1"/>
  <c r="F12" i="1"/>
  <c r="D12" i="1" s="1"/>
  <c r="D9" i="1" l="1"/>
  <c r="F8" i="1"/>
  <c r="D8" i="1" s="1"/>
  <c r="F11" i="1"/>
  <c r="D11" i="1" s="1"/>
  <c r="F4" i="1"/>
  <c r="D4" i="1" s="1"/>
</calcChain>
</file>

<file path=xl/sharedStrings.xml><?xml version="1.0" encoding="utf-8"?>
<sst xmlns="http://schemas.openxmlformats.org/spreadsheetml/2006/main" count="66" uniqueCount="24">
  <si>
    <t>ProjectName</t>
  </si>
  <si>
    <t>Type</t>
  </si>
  <si>
    <t>Budget</t>
  </si>
  <si>
    <t>Total</t>
  </si>
  <si>
    <t>Actual</t>
  </si>
  <si>
    <t>Forecast</t>
  </si>
  <si>
    <t>Overbudget</t>
  </si>
  <si>
    <t>Remaining</t>
  </si>
  <si>
    <t>Category</t>
  </si>
  <si>
    <t>Progress</t>
  </si>
  <si>
    <t>Juniper 4</t>
  </si>
  <si>
    <t>Expense</t>
  </si>
  <si>
    <t>Not Overbudget</t>
  </si>
  <si>
    <t>Closed</t>
  </si>
  <si>
    <t>Capex</t>
  </si>
  <si>
    <t>Not OverBudget</t>
  </si>
  <si>
    <t>Able</t>
  </si>
  <si>
    <t>Carter &amp; Cover</t>
  </si>
  <si>
    <t>PDU</t>
  </si>
  <si>
    <t>TOPOV</t>
  </si>
  <si>
    <t>Aileron Ram Body</t>
  </si>
  <si>
    <t>Elevator Ram Body</t>
  </si>
  <si>
    <t>Opened</t>
  </si>
  <si>
    <t xml:space="preserve">Aileron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</si>
</sst>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2" borderId="1" xfId="0" applyFont="1" applyFill="1" applyBorder="1" applyAlignment="1">
      <alignment horizontal="center"/>
    </xf>
    <xf numFmtId="44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</cellXfs>
  <cellStyles count="2">
    <cellStyle name="Currency" xfId="1" builtinId="4"/>
    <cellStyle name="Normal" xfId="0" builtinId="0"/>
  </cellStyles>
  <dxfs count="1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9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NPI%20Expenses%20Data\Budget%20Control\Budget%20Juniper%204.xlsm" TargetMode="External"/><Relationship Id="rId1" Type="http://schemas.openxmlformats.org/officeDocument/2006/relationships/externalLinkPath" Target="file:///P:\ENGINEERING\NPI%20Expenses%20Data\Budget%20Control\Budget%20Juniper%2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NPI%20Expenses%20Data\Budget%20Control\Budget%20Juniper%204.xlsx" TargetMode="External"/><Relationship Id="rId1" Type="http://schemas.openxmlformats.org/officeDocument/2006/relationships/externalLinkPath" Target="file:///P:\ENGINEERING\NPI%20Expenses%20Data\Budget%20Control\Budget%20Juniper%204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NPI%20Expenses%20Data\Budget%20Control\Budget%20ABLE.xlsm" TargetMode="External"/><Relationship Id="rId1" Type="http://schemas.openxmlformats.org/officeDocument/2006/relationships/externalLinkPath" Target="file:///P:\ENGINEERING\NPI%20Expenses%20Data\Budget%20Control\Budget%20ABLE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PROJECT\83.%20TOPOV%20-%20PROJECT%20ABLE\01.%20Project%20Cost\Mapping%20CAPEX%20ABLE%205%20Jul.xlsx" TargetMode="External"/><Relationship Id="rId1" Type="http://schemas.openxmlformats.org/officeDocument/2006/relationships/externalLinkPath" Target="file:///\\gidbnf02\SHARED\ENGINEERING\PROJECT\83.%20TOPOV%20-%20PROJECT%20ABLE\01.%20Project%20Cost\Mapping%20CAPEX%20ABLE%205%20Jul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NPI%20Expenses%20Data\Budget%20Control\Budget%20Carter%20&amp;%20Cover.xlsm" TargetMode="External"/><Relationship Id="rId1" Type="http://schemas.openxmlformats.org/officeDocument/2006/relationships/externalLinkPath" Target="file:///P:\ENGINEERING\NPI%20Expenses%20Data\Budget%20Control\Budget%20Carter%20&amp;%20Cover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NPI%20Expenses%20Data\Budget%20Control\Budget%20Carter%20&amp;%20Cover%20R1.xlsm" TargetMode="External"/><Relationship Id="rId1" Type="http://schemas.openxmlformats.org/officeDocument/2006/relationships/externalLinkPath" Target="file:///P:\ENGINEERING\NPI%20Expenses%20Data\Budget%20Control\Budget%20Carter%20&amp;%20Cover%20R1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Attachment\NPI%20Project\Carter%20&amp;%20Cover\Copy%20of%20PIO%20List%20Carter%20&amp;%20Cover%202400321.xlsx" TargetMode="External"/><Relationship Id="rId1" Type="http://schemas.openxmlformats.org/officeDocument/2006/relationships/externalLinkPath" Target="file:///T:\Attachment\NPI%20Project\Carter%20&amp;%20Cover\Copy%20of%20PIO%20List%20Carter%20&amp;%20Cover%202400321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NPI%20Expenses%20Data\Budget%20Control\Budget%20PDU.xlsx" TargetMode="External"/><Relationship Id="rId1" Type="http://schemas.openxmlformats.org/officeDocument/2006/relationships/externalLinkPath" Target="file:///P:\ENGINEERING\NPI%20Expenses%20Data\Budget%20Control\Budget%20PDU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NPI%20Expenses%20Data\Budget%20Control\Budget%20Topov.xlsm" TargetMode="External"/><Relationship Id="rId1" Type="http://schemas.openxmlformats.org/officeDocument/2006/relationships/externalLinkPath" Target="file:///P:\ENGINEERING\NPI%20Expenses%20Data\Budget%20Control\Budget%20Topov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PROJECT\62.%20TOPOV\01.%20Project%20Cost\Mapping%20Budget%203P.xlsx" TargetMode="External"/><Relationship Id="rId1" Type="http://schemas.openxmlformats.org/officeDocument/2006/relationships/externalLinkPath" Target="file:///\\gidbnf02\SHARED\ENGINEERING\PROJECT\62.%20TOPOV\01.%20Project%20Cost\Mapping%20Budget%203P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ENGINEERING\NPI%20Expenses%20Data\Budget%20Control\Budget%20Aileron%20&amp;%20Elevator%20Ram%20Body.xlsx" TargetMode="External"/><Relationship Id="rId1" Type="http://schemas.openxmlformats.org/officeDocument/2006/relationships/externalLinkPath" Target="file:///P:\ENGINEERING\NPI%20Expenses%20Data\Budget%20Control\Budget%20Aileron%20&amp;%20Elevator%20Ram%20Body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Attachment\NPI%20Project\Elevator%20&amp;%20Aileron%20Ram%20Body\Elevator%20&amp;%20Aileron%20CDV%20PIO%20240229.xlsx" TargetMode="External"/><Relationship Id="rId1" Type="http://schemas.openxmlformats.org/officeDocument/2006/relationships/externalLinkPath" Target="file:///T:\Attachment\NPI%20Project\Elevator%20&amp;%20Aileron%20Ram%20Body\Elevator%20&amp;%20Aileron%20CDV%20PIO%2024022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capitulation Budget NPI"/>
      <sheetName val="electric cda nital etch"/>
      <sheetName val="Raw Data"/>
      <sheetName val="Sheet5"/>
      <sheetName val="Sheet4"/>
      <sheetName val="Sheet2"/>
      <sheetName val="Sheet1"/>
      <sheetName val="EXPENSES JUNIPER 4"/>
      <sheetName val="Sheet3"/>
      <sheetName val="Summary PDU &amp; Aileron V1922"/>
      <sheetName val="CAPEX JUNIPER 4"/>
      <sheetName val="Grafik (2)"/>
      <sheetName val="List"/>
      <sheetName val="Budget Control"/>
      <sheetName val="Grafik"/>
      <sheetName val="Learning Curve"/>
      <sheetName val="VENDOR"/>
      <sheetName val="Budget Control (2)"/>
      <sheetName val="PO Detail"/>
      <sheetName val="ePRF tracker"/>
      <sheetName val="Char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20">
          <cell r="D20">
            <v>407613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capitulation Budget NPI"/>
      <sheetName val="electric cda nital etch"/>
      <sheetName val="Raw Data"/>
      <sheetName val="Sheet5"/>
      <sheetName val="Sheet4"/>
      <sheetName val="Sheet2"/>
      <sheetName val="Sheet1"/>
      <sheetName val="EXPENSES JUNIPER 4"/>
      <sheetName val="Sheet3"/>
      <sheetName val="Summary PDU &amp; Aileron V1922"/>
      <sheetName val="CAPEX JUNIPER 4"/>
      <sheetName val="Grafik (2)"/>
      <sheetName val="List"/>
      <sheetName val="Budget Control"/>
      <sheetName val="Grafik"/>
      <sheetName val="Learning Curve"/>
      <sheetName val="VENDOR"/>
      <sheetName val="Budget Control (2)"/>
      <sheetName val="PO Detail"/>
      <sheetName val="ePRF tracker"/>
      <sheetName val="Char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20">
          <cell r="AF20">
            <v>80765.61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capitulation Budget NPI"/>
      <sheetName val="Raw Data"/>
      <sheetName val="Sheet4"/>
      <sheetName val="Sheet3"/>
      <sheetName val="Sheet2"/>
      <sheetName val="Control Exp Able"/>
      <sheetName val="Control Capex Able"/>
      <sheetName val="Grafik"/>
      <sheetName val="List"/>
      <sheetName val="VENDOR"/>
      <sheetName val="Sheet1"/>
      <sheetName val="inst &amp; gauge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7">
          <cell r="D27">
            <v>400364</v>
          </cell>
          <cell r="AG27">
            <v>104509.72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 1 + Expenses"/>
      <sheetName val="2024"/>
      <sheetName val="Control Budget"/>
      <sheetName val="Summary"/>
      <sheetName val="Control (2)"/>
    </sheetNames>
    <sheetDataSet>
      <sheetData sheetId="0" refreshError="1"/>
      <sheetData sheetId="1" refreshError="1"/>
      <sheetData sheetId="2" refreshError="1">
        <row r="5">
          <cell r="C5">
            <v>185456</v>
          </cell>
        </row>
      </sheetData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w Data"/>
      <sheetName val="Expenses"/>
      <sheetName val="Sheet3"/>
      <sheetName val="Expenses to Cust"/>
      <sheetName val="Grafik"/>
      <sheetName val="NPI SCM Data"/>
      <sheetName val="Summary PDU &amp; Aileron V1922"/>
      <sheetName val="List"/>
      <sheetName val="Sheet1"/>
      <sheetName val="Expenses (2)"/>
      <sheetName val="Budget Control (2)"/>
      <sheetName val="PO Detail"/>
      <sheetName val="ePRF tracker"/>
      <sheetName val="Charge"/>
    </sheetNames>
    <sheetDataSet>
      <sheetData sheetId="0" refreshError="1"/>
      <sheetData sheetId="1" refreshError="1">
        <row r="6">
          <cell r="B6">
            <v>742609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enses (3)"/>
      <sheetName val="Raw Data"/>
      <sheetName val="Expenses"/>
      <sheetName val="Expenses (2)"/>
      <sheetName val="Sheet3"/>
      <sheetName val="Expenses to Cust"/>
      <sheetName val="Grafik"/>
      <sheetName val="NPI SCM Data"/>
      <sheetName val="Summary PDU &amp; Aileron V1922"/>
      <sheetName val="List"/>
      <sheetName val="Sheet1"/>
      <sheetName val="Budget Control (2)"/>
      <sheetName val="PO Detail"/>
      <sheetName val="ePRF tracker"/>
      <sheetName val="Charge"/>
    </sheetNames>
    <sheetDataSet>
      <sheetData sheetId="0" refreshError="1"/>
      <sheetData sheetId="1" refreshError="1"/>
      <sheetData sheetId="2" refreshError="1"/>
      <sheetData sheetId="3" refreshError="1">
        <row r="24">
          <cell r="AK24">
            <v>666298.89999999991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tions List"/>
      <sheetName val="LOB C&amp;C"/>
      <sheetName val="Carter"/>
      <sheetName val="Cover"/>
      <sheetName val="Demand"/>
      <sheetName val="LOB C&amp;C (2)"/>
      <sheetName val="BOM &amp; Shipment"/>
      <sheetName val="Sheet1"/>
      <sheetName val="Baseline"/>
      <sheetName val="Tracking R3"/>
      <sheetName val="Tracking R1"/>
      <sheetName val="Tracking"/>
      <sheetName val="CAPEX Plan R1"/>
      <sheetName val="Budget Alloc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6">
          <cell r="C6">
            <v>136310</v>
          </cell>
        </row>
      </sheetData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w Data"/>
      <sheetName val="List"/>
      <sheetName val="Detail Expense PDU"/>
      <sheetName val="Sheet1 (2)"/>
      <sheetName val="Sheet1"/>
      <sheetName val="Customer Report"/>
      <sheetName val="Grafik"/>
      <sheetName val="10. ETC Sep"/>
      <sheetName val="10. ETC Oct"/>
      <sheetName val="10. ETC Nov"/>
      <sheetName val="10. ETC Dec"/>
      <sheetName val="10. ETC Jan"/>
      <sheetName val="10. ETC Feb"/>
      <sheetName val="10. ETC Mar"/>
      <sheetName val="10. ETC Apr"/>
      <sheetName val="10. ETC May"/>
      <sheetName val="Summary L2"/>
      <sheetName val="electrical tobero"/>
    </sheetNames>
    <sheetDataSet>
      <sheetData sheetId="0" refreshError="1"/>
      <sheetData sheetId="1" refreshError="1"/>
      <sheetData sheetId="2" refreshError="1">
        <row r="4">
          <cell r="B4">
            <v>735941.79</v>
          </cell>
        </row>
        <row r="21">
          <cell r="AR21">
            <v>592592.4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capitulation Budget NPI"/>
      <sheetName val="electric cda nital etch"/>
      <sheetName val="Raw Data"/>
      <sheetName val="Sheet3"/>
      <sheetName val="Summary 3P Office"/>
      <sheetName val="Sheet2"/>
      <sheetName val="Sheet1"/>
      <sheetName val="Control Exp Topov (2)"/>
      <sheetName val="Grafik (2)"/>
      <sheetName val="NPI SCM Data"/>
      <sheetName val="Summary PDU &amp; Aileron V1922"/>
      <sheetName val="List"/>
      <sheetName val="Budget Control"/>
      <sheetName val="NPI Charges Summary"/>
      <sheetName val="Grafik"/>
      <sheetName val="Learning Curve"/>
      <sheetName val="VENDOR"/>
      <sheetName val="Budget Control (2)"/>
      <sheetName val="PO Detail"/>
      <sheetName val="ePRF tracker"/>
      <sheetName val="Char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6">
          <cell r="D36">
            <v>667393.71</v>
          </cell>
          <cell r="AX36">
            <v>619799.21000000008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 1 + Expenses"/>
      <sheetName val="Revisi"/>
      <sheetName val="Control Budget"/>
      <sheetName val="Summary"/>
      <sheetName val="Control (2)"/>
    </sheetNames>
    <sheetDataSet>
      <sheetData sheetId="0" refreshError="1"/>
      <sheetData sheetId="1" refreshError="1"/>
      <sheetData sheetId="2" refreshError="1">
        <row r="5">
          <cell r="B5">
            <v>2208712.6342387898</v>
          </cell>
        </row>
      </sheetData>
      <sheetData sheetId="3" refreshError="1"/>
      <sheetData sheetId="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w Data"/>
      <sheetName val="Expense Aileron &amp; Elevator RB"/>
      <sheetName val="Sheet3"/>
      <sheetName val="Sheet1"/>
      <sheetName val="Grafik"/>
      <sheetName val="Sheet2"/>
      <sheetName val="List"/>
    </sheetNames>
    <sheetDataSet>
      <sheetData sheetId="0" refreshError="1"/>
      <sheetData sheetId="1" refreshError="1">
        <row r="6">
          <cell r="C6">
            <v>222218.80000000002</v>
          </cell>
        </row>
        <row r="14">
          <cell r="AL14">
            <v>137924.65</v>
          </cell>
        </row>
        <row r="34">
          <cell r="C34">
            <v>213625.91999999998</v>
          </cell>
        </row>
        <row r="42">
          <cell r="AL42">
            <v>210653.02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IO Customer"/>
      <sheetName val="Aileron. Ram Body"/>
      <sheetName val="Elevator Ram Body"/>
      <sheetName val="Machine Selection"/>
      <sheetName val="Demand"/>
      <sheetName val="CAPEX Plan R1"/>
      <sheetName val="Tracking R5"/>
      <sheetName val="Tracking R4"/>
      <sheetName val="Tracking R3"/>
      <sheetName val="Tracking R1"/>
      <sheetName val="Tracking"/>
      <sheetName val="Budget Allocation Plan R1"/>
      <sheetName val="CAPEX Plan"/>
      <sheetName val="Budget Allocation Plan"/>
      <sheetName val="EAC Ram Body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5">
          <cell r="C15">
            <v>1797967.43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16B326-AD18-487E-8A50-3BE6972C8D2E}" name="Projects" displayName="Projects" ref="A1:J15" totalsRowShown="0" headerRowDxfId="13" dataDxfId="11" headerRowBorderDxfId="12" tableBorderDxfId="10" dataCellStyle="Currency">
  <autoFilter ref="A1:J15" xr:uid="{9216B326-AD18-487E-8A50-3BE6972C8D2E}"/>
  <tableColumns count="10">
    <tableColumn id="1" xr3:uid="{D4CC221D-8C99-4CD5-B2D0-E63FEB12A5F3}" name="ProjectName" dataDxfId="9"/>
    <tableColumn id="2" xr3:uid="{270F08D0-0142-4765-AEB5-0B55633F37DC}" name="Type" dataDxfId="8"/>
    <tableColumn id="3" xr3:uid="{23AA1617-BA00-4D46-90F4-E800FDDF0036}" name="Budget" dataDxfId="7" dataCellStyle="Currency"/>
    <tableColumn id="4" xr3:uid="{2F4DE550-1744-4155-B474-9652EDF01285}" name="Total" dataDxfId="6" dataCellStyle="Currency">
      <calculatedColumnFormula>Projects[[#This Row],[Actual]]+Projects[[#This Row],[Forecast]]</calculatedColumnFormula>
    </tableColumn>
    <tableColumn id="5" xr3:uid="{8208F2DC-B091-4A89-9387-F6CC68CD0601}" name="Actual" dataDxfId="5" dataCellStyle="Currency"/>
    <tableColumn id="6" xr3:uid="{F959914B-56E5-4E1D-A9D5-8DE28EB76089}" name="Forecast" dataDxfId="4" dataCellStyle="Currency">
      <calculatedColumnFormula>Projects[[#This Row],[Budget]]-Projects[[#This Row],[Actual]]</calculatedColumnFormula>
    </tableColumn>
    <tableColumn id="7" xr3:uid="{59785377-FE7D-4A98-842E-B2CD32F6E2EE}" name="Overbudget" dataDxfId="3" dataCellStyle="Currency"/>
    <tableColumn id="8" xr3:uid="{CB169D8A-EB11-40C8-AD2B-F0C70F626142}" name="Remaining" dataDxfId="2" dataCellStyle="Currency">
      <calculatedColumnFormula>Projects[[#This Row],[Budget]]-Projects[[#This Row],[Total]]</calculatedColumnFormula>
    </tableColumn>
    <tableColumn id="9" xr3:uid="{9C5D1045-A089-4EF3-90E5-ED17C67C0699}" name="Category" dataDxfId="1"/>
    <tableColumn id="10" xr3:uid="{9515A24D-97DB-4F41-9FD6-ED8DDCFA97E9}" name="Progres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47E0-1E58-440D-9EC7-4795CE22A2D3}">
  <sheetPr codeName="Sheet1"/>
  <dimension ref="A1:J15"/>
  <sheetViews>
    <sheetView tabSelected="1" zoomScaleNormal="100" workbookViewId="0">
      <selection activeCell="E17" sqref="E17"/>
    </sheetView>
  </sheetViews>
  <sheetFormatPr defaultRowHeight="14.4" x14ac:dyDescent="0.3"/>
  <cols>
    <col min="1" max="1" width="18" customWidth="1"/>
    <col min="3" max="3" width="15.21875" customWidth="1"/>
    <col min="4" max="4" width="18" customWidth="1"/>
    <col min="5" max="5" width="11.88671875" customWidth="1"/>
    <col min="6" max="6" width="19.88671875" customWidth="1"/>
    <col min="7" max="7" width="15.77734375" customWidth="1"/>
    <col min="8" max="8" width="21.77734375" customWidth="1"/>
    <col min="9" max="9" width="18" customWidth="1"/>
    <col min="10" max="10" width="28.5546875" customWidth="1"/>
  </cols>
  <sheetData>
    <row r="1" spans="1:10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4" t="s">
        <v>10</v>
      </c>
      <c r="B2" s="4" t="s">
        <v>11</v>
      </c>
      <c r="C2" s="3">
        <f>'[1]EXPENSES JUNIPER 4'!D20</f>
        <v>407613</v>
      </c>
      <c r="D2" s="3">
        <f>Projects[[#This Row],[Actual]]+Projects[[#This Row],[Forecast]]</f>
        <v>407613</v>
      </c>
      <c r="E2" s="3">
        <f>'[2]EXPENSES JUNIPER 4'!$AF$20</f>
        <v>80765.61</v>
      </c>
      <c r="F2" s="3">
        <f>Projects[[#This Row],[Budget]]-Projects[[#This Row],[Actual]]</f>
        <v>326847.39</v>
      </c>
      <c r="G2" s="2">
        <v>0</v>
      </c>
      <c r="H2" s="2">
        <v>0</v>
      </c>
      <c r="I2" s="4" t="s">
        <v>12</v>
      </c>
      <c r="J2" s="4" t="s">
        <v>13</v>
      </c>
    </row>
    <row r="3" spans="1:10" x14ac:dyDescent="0.3">
      <c r="A3" s="4" t="s">
        <v>10</v>
      </c>
      <c r="B3" s="4" t="s">
        <v>14</v>
      </c>
      <c r="C3" s="3">
        <v>662546</v>
      </c>
      <c r="D3" s="3">
        <f>Projects[[#This Row],[Actual]]+Projects[[#This Row],[Forecast]]</f>
        <v>662546</v>
      </c>
      <c r="E3" s="3">
        <v>412334</v>
      </c>
      <c r="F3" s="3">
        <f>Projects[[#This Row],[Budget]]-Projects[[#This Row],[Actual]]</f>
        <v>250212</v>
      </c>
      <c r="G3" s="2">
        <v>0</v>
      </c>
      <c r="H3" s="2">
        <v>0</v>
      </c>
      <c r="I3" s="4" t="s">
        <v>12</v>
      </c>
      <c r="J3" s="4" t="s">
        <v>13</v>
      </c>
    </row>
    <row r="4" spans="1:10" x14ac:dyDescent="0.3">
      <c r="A4" s="4" t="s">
        <v>16</v>
      </c>
      <c r="B4" s="4" t="s">
        <v>11</v>
      </c>
      <c r="C4" s="3">
        <f>'[3]Control Exp Able'!D27</f>
        <v>400364</v>
      </c>
      <c r="D4" s="3">
        <f>Projects[[#This Row],[Actual]]+Projects[[#This Row],[Forecast]]</f>
        <v>400364</v>
      </c>
      <c r="E4" s="3">
        <f>'[3]Control Exp Able'!$AG$27</f>
        <v>104509.72</v>
      </c>
      <c r="F4" s="3">
        <f>Projects[[#This Row],[Budget]]-Projects[[#This Row],[Actual]]</f>
        <v>295854.28000000003</v>
      </c>
      <c r="G4" s="2">
        <v>0</v>
      </c>
      <c r="H4" s="2">
        <v>0</v>
      </c>
      <c r="I4" s="4" t="s">
        <v>12</v>
      </c>
      <c r="J4" s="4" t="s">
        <v>13</v>
      </c>
    </row>
    <row r="5" spans="1:10" x14ac:dyDescent="0.3">
      <c r="A5" s="4" t="s">
        <v>16</v>
      </c>
      <c r="B5" s="4" t="s">
        <v>14</v>
      </c>
      <c r="C5" s="3">
        <f>'[4]Control Budget'!$C$5</f>
        <v>185456</v>
      </c>
      <c r="D5" s="3">
        <f>Projects[[#This Row],[Actual]]+Projects[[#This Row],[Forecast]]</f>
        <v>185456</v>
      </c>
      <c r="E5" s="3">
        <v>141087</v>
      </c>
      <c r="F5" s="3">
        <f>Projects[[#This Row],[Budget]]-Projects[[#This Row],[Actual]]</f>
        <v>44369</v>
      </c>
      <c r="G5" s="2">
        <v>0</v>
      </c>
      <c r="H5" s="2">
        <v>0</v>
      </c>
      <c r="I5" s="4" t="s">
        <v>12</v>
      </c>
      <c r="J5" s="4" t="s">
        <v>13</v>
      </c>
    </row>
    <row r="6" spans="1:10" x14ac:dyDescent="0.3">
      <c r="A6" s="4" t="s">
        <v>17</v>
      </c>
      <c r="B6" s="4" t="s">
        <v>11</v>
      </c>
      <c r="C6" s="3">
        <f>[5]Expenses!B6</f>
        <v>742609</v>
      </c>
      <c r="D6" s="3">
        <f>Projects[[#This Row],[Actual]]+Projects[[#This Row],[Forecast]]</f>
        <v>742609</v>
      </c>
      <c r="E6" s="3">
        <f>'[6]Expenses (2)'!$AK$24+76310</f>
        <v>742608.89999999991</v>
      </c>
      <c r="F6" s="3">
        <f>Projects[[#This Row],[Budget]]-Projects[[#This Row],[Actual]]</f>
        <v>0.10000000009313226</v>
      </c>
      <c r="G6" s="2">
        <v>0</v>
      </c>
      <c r="H6" s="2">
        <v>0</v>
      </c>
      <c r="I6" s="4" t="s">
        <v>12</v>
      </c>
      <c r="J6" s="4" t="s">
        <v>13</v>
      </c>
    </row>
    <row r="7" spans="1:10" x14ac:dyDescent="0.3">
      <c r="A7" s="4" t="s">
        <v>17</v>
      </c>
      <c r="B7" s="4" t="s">
        <v>14</v>
      </c>
      <c r="C7" s="3">
        <f>'[7]CAPEX Plan R1'!$C$6</f>
        <v>136310</v>
      </c>
      <c r="D7" s="3">
        <f>Projects[[#This Row],[Actual]]+Projects[[#This Row],[Forecast]]</f>
        <v>136310</v>
      </c>
      <c r="E7" s="3">
        <v>133823.56</v>
      </c>
      <c r="F7" s="3">
        <f>Projects[[#This Row],[Budget]]-Projects[[#This Row],[Actual]]</f>
        <v>2486.4400000000023</v>
      </c>
      <c r="G7" s="2">
        <v>0</v>
      </c>
      <c r="H7" s="2">
        <v>0</v>
      </c>
      <c r="I7" s="4" t="s">
        <v>12</v>
      </c>
      <c r="J7" s="4" t="s">
        <v>13</v>
      </c>
    </row>
    <row r="8" spans="1:10" x14ac:dyDescent="0.3">
      <c r="A8" s="4" t="s">
        <v>18</v>
      </c>
      <c r="B8" s="4" t="s">
        <v>11</v>
      </c>
      <c r="C8" s="3">
        <f>'[8]Detail Expense PDU'!B4</f>
        <v>735941.79</v>
      </c>
      <c r="D8" s="3">
        <f>Projects[[#This Row],[Actual]]+Projects[[#This Row],[Forecast]]</f>
        <v>735941.79</v>
      </c>
      <c r="E8" s="3">
        <f>'[8]Detail Expense PDU'!$AR$21</f>
        <v>592592.4</v>
      </c>
      <c r="F8" s="3">
        <f>Projects[[#This Row],[Budget]]-Projects[[#This Row],[Actual]]</f>
        <v>143349.39000000001</v>
      </c>
      <c r="G8" s="2">
        <v>0</v>
      </c>
      <c r="H8" s="2">
        <v>0</v>
      </c>
      <c r="I8" s="4" t="s">
        <v>12</v>
      </c>
      <c r="J8" s="4" t="s">
        <v>13</v>
      </c>
    </row>
    <row r="9" spans="1:10" x14ac:dyDescent="0.3">
      <c r="A9" s="4" t="s">
        <v>19</v>
      </c>
      <c r="B9" s="4" t="s">
        <v>11</v>
      </c>
      <c r="C9" s="3">
        <f>'[9]Control Exp Topov (2)'!D36</f>
        <v>667393.71</v>
      </c>
      <c r="D9" s="3">
        <f>Projects[[#This Row],[Actual]]+Projects[[#This Row],[Forecast]]</f>
        <v>667393.71</v>
      </c>
      <c r="E9" s="3">
        <f>'[9]Control Exp Topov (2)'!$AX$36</f>
        <v>619799.21000000008</v>
      </c>
      <c r="F9" s="3">
        <f>Projects[[#This Row],[Budget]]-Projects[[#This Row],[Actual]]</f>
        <v>47594.499999999884</v>
      </c>
      <c r="G9" s="2">
        <v>0</v>
      </c>
      <c r="H9" s="2">
        <v>0</v>
      </c>
      <c r="I9" s="4" t="s">
        <v>12</v>
      </c>
      <c r="J9" s="4" t="s">
        <v>13</v>
      </c>
    </row>
    <row r="10" spans="1:10" x14ac:dyDescent="0.3">
      <c r="A10" s="4" t="s">
        <v>19</v>
      </c>
      <c r="B10" s="4" t="s">
        <v>14</v>
      </c>
      <c r="C10" s="3">
        <f>'[10]Control Budget'!$B$5</f>
        <v>2208712.6342387898</v>
      </c>
      <c r="D10" s="3">
        <f>Projects[[#This Row],[Actual]]+Projects[[#This Row],[Forecast]]</f>
        <v>2208712.6342387898</v>
      </c>
      <c r="E10" s="3">
        <v>2086280</v>
      </c>
      <c r="F10" s="3">
        <f>Projects[[#This Row],[Budget]]-Projects[[#This Row],[Actual]]</f>
        <v>122432.63423878979</v>
      </c>
      <c r="G10" s="2">
        <v>0</v>
      </c>
      <c r="H10" s="2">
        <v>0</v>
      </c>
      <c r="I10" s="4" t="s">
        <v>12</v>
      </c>
      <c r="J10" s="4" t="s">
        <v>13</v>
      </c>
    </row>
    <row r="11" spans="1:10" x14ac:dyDescent="0.3">
      <c r="A11" s="4" t="s">
        <v>20</v>
      </c>
      <c r="B11" s="4" t="s">
        <v>11</v>
      </c>
      <c r="C11" s="3">
        <f>'[11]Expense Aileron &amp; Elevator RB'!$C$6</f>
        <v>222218.80000000002</v>
      </c>
      <c r="D11" s="3">
        <f>Projects[[#This Row],[Actual]]+Projects[[#This Row],[Forecast]]</f>
        <v>222218.80000000002</v>
      </c>
      <c r="E11" s="3">
        <f>'[11]Expense Aileron &amp; Elevator RB'!$AL$14</f>
        <v>137924.65</v>
      </c>
      <c r="F11" s="3">
        <f>Projects[[#This Row],[Budget]]-Projects[[#This Row],[Actual]]</f>
        <v>84294.150000000023</v>
      </c>
      <c r="G11" s="2">
        <v>0</v>
      </c>
      <c r="H11" s="2">
        <v>0</v>
      </c>
      <c r="I11" s="4" t="s">
        <v>12</v>
      </c>
      <c r="J11" s="4" t="s">
        <v>13</v>
      </c>
    </row>
    <row r="12" spans="1:10" x14ac:dyDescent="0.3">
      <c r="A12" s="4" t="s">
        <v>21</v>
      </c>
      <c r="B12" s="4" t="s">
        <v>11</v>
      </c>
      <c r="C12" s="3">
        <f>'[11]Expense Aileron &amp; Elevator RB'!$C$34</f>
        <v>213625.91999999998</v>
      </c>
      <c r="D12" s="3">
        <f>Projects[[#This Row],[Actual]]+Projects[[#This Row],[Forecast]]</f>
        <v>213625.91999999998</v>
      </c>
      <c r="E12" s="3">
        <f>'[11]Expense Aileron &amp; Elevator RB'!$AL$42</f>
        <v>210653.02</v>
      </c>
      <c r="F12" s="3">
        <f>Projects[[#This Row],[Budget]]-Projects[[#This Row],[Actual]]</f>
        <v>2972.8999999999942</v>
      </c>
      <c r="G12" s="2">
        <v>0</v>
      </c>
      <c r="H12" s="2">
        <v>0</v>
      </c>
      <c r="I12" s="4" t="s">
        <v>12</v>
      </c>
      <c r="J12" s="4" t="s">
        <v>13</v>
      </c>
    </row>
    <row r="13" spans="1:10" x14ac:dyDescent="0.3">
      <c r="A13" s="4" t="s">
        <v>21</v>
      </c>
      <c r="B13" s="4" t="s">
        <v>14</v>
      </c>
      <c r="C13" s="3">
        <f>'[12]CAPEX Plan R1'!$C$15</f>
        <v>1797967.43</v>
      </c>
      <c r="D13" s="3">
        <f>Projects[[#This Row],[Actual]]+Projects[[#This Row],[Forecast]]</f>
        <v>1797967.43</v>
      </c>
      <c r="E13" s="3">
        <v>1617480</v>
      </c>
      <c r="F13" s="3">
        <f>Projects[[#This Row],[Budget]]-Projects[[#This Row],[Actual]]</f>
        <v>180487.42999999993</v>
      </c>
      <c r="G13" s="2">
        <v>0</v>
      </c>
      <c r="H13" s="2">
        <v>0</v>
      </c>
      <c r="I13" s="4" t="s">
        <v>12</v>
      </c>
      <c r="J13" s="4" t="s">
        <v>13</v>
      </c>
    </row>
    <row r="14" spans="1:10" x14ac:dyDescent="0.3">
      <c r="A14" s="4" t="s">
        <v>23</v>
      </c>
      <c r="B14" s="4" t="s">
        <v>11</v>
      </c>
      <c r="C14" s="5">
        <v>1500967</v>
      </c>
      <c r="D14" s="5">
        <f>Projects[[#This Row],[Actual]]+Projects[[#This Row],[Forecast]]</f>
        <v>1500967</v>
      </c>
      <c r="E14" s="5">
        <v>1200</v>
      </c>
      <c r="F14" s="5">
        <f>Projects[[#This Row],[Budget]]-Projects[[#This Row],[Actual]]</f>
        <v>1499767</v>
      </c>
      <c r="G14" s="5">
        <v>0</v>
      </c>
      <c r="H14" s="5">
        <v>0</v>
      </c>
      <c r="I14" s="4" t="s">
        <v>15</v>
      </c>
      <c r="J14" s="4" t="s">
        <v>22</v>
      </c>
    </row>
    <row r="15" spans="1:10" x14ac:dyDescent="0.3">
      <c r="A15" s="4" t="s">
        <v>20</v>
      </c>
      <c r="B15" s="4" t="s">
        <v>14</v>
      </c>
      <c r="C15" s="5">
        <v>150000</v>
      </c>
      <c r="D15" s="5">
        <f>Projects[[#This Row],[Actual]]+Projects[[#This Row],[Forecast]]</f>
        <v>150000</v>
      </c>
      <c r="E15" s="5">
        <v>12100</v>
      </c>
      <c r="F15" s="5">
        <f>Projects[[#This Row],[Budget]]-Projects[[#This Row],[Actual]]</f>
        <v>137900</v>
      </c>
      <c r="G15" s="5">
        <v>0</v>
      </c>
      <c r="H15" s="5">
        <f>Projects[[#This Row],[Budget]]-Projects[[#This Row],[Total]]</f>
        <v>0</v>
      </c>
      <c r="I15" s="4" t="s">
        <v>15</v>
      </c>
      <c r="J15" s="4" t="s">
        <v>13</v>
      </c>
    </row>
  </sheetData>
  <dataValidations count="3">
    <dataValidation type="list" allowBlank="1" showInputMessage="1" showErrorMessage="1" sqref="B2:B15" xr:uid="{99694A31-B333-4EA2-81F9-3E4C2050B1F0}">
      <formula1>"Expense, Capex"</formula1>
    </dataValidation>
    <dataValidation type="list" allowBlank="1" showInputMessage="1" showErrorMessage="1" sqref="J2:J15" xr:uid="{6B4CC187-B2FD-4C5F-8380-88BC2726FB7F}">
      <formula1>"Opened, Closed"</formula1>
    </dataValidation>
    <dataValidation type="list" allowBlank="1" showInputMessage="1" showErrorMessage="1" sqref="I2:I15" xr:uid="{EFC9B07F-437A-4743-A010-7CE2EAB916FA}">
      <formula1>"OverBudget, Not OverBudget"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kikaamalia26@gmail.com</dc:creator>
  <cp:lastModifiedBy>kikaamalia26@gmail.com</cp:lastModifiedBy>
  <dcterms:created xsi:type="dcterms:W3CDTF">2025-09-14T00:12:46Z</dcterms:created>
  <dcterms:modified xsi:type="dcterms:W3CDTF">2025-09-16T03:11:12Z</dcterms:modified>
</cp:coreProperties>
</file>